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N\Threepwoods Thrifts\Hacking SWOS Graphics\07 - Read Me\"/>
    </mc:Choice>
  </mc:AlternateContent>
  <bookViews>
    <workbookView xWindow="0" yWindow="0" windowWidth="28800" windowHeight="1302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3" i="1"/>
  <c r="L4" i="1"/>
  <c r="L5" i="1"/>
  <c r="L6" i="1"/>
  <c r="L7" i="1"/>
  <c r="L8" i="1"/>
  <c r="L3" i="1"/>
  <c r="H13" i="2"/>
  <c r="H4" i="2"/>
  <c r="H5" i="2"/>
  <c r="H6" i="2"/>
  <c r="H7" i="2"/>
  <c r="H8" i="2"/>
  <c r="H9" i="2"/>
  <c r="H10" i="2"/>
  <c r="H11" i="2"/>
  <c r="H12" i="2"/>
  <c r="H3" i="2"/>
  <c r="G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4" i="2"/>
  <c r="G5" i="2"/>
  <c r="G6" i="2"/>
  <c r="G7" i="2"/>
  <c r="G8" i="2"/>
  <c r="G9" i="2"/>
  <c r="G10" i="2"/>
  <c r="G11" i="2"/>
  <c r="G12" i="2"/>
  <c r="G13" i="2"/>
  <c r="P3" i="1" l="1"/>
  <c r="P4" i="1"/>
  <c r="P5" i="1"/>
  <c r="P6" i="1"/>
  <c r="P7" i="1"/>
  <c r="P8" i="1"/>
  <c r="M3" i="1"/>
  <c r="Q4" i="1"/>
  <c r="Q5" i="1"/>
  <c r="Q6" i="1"/>
  <c r="Q7" i="1"/>
  <c r="Q8" i="1"/>
  <c r="Q3" i="1"/>
  <c r="M4" i="1" l="1"/>
  <c r="M5" i="1"/>
  <c r="M6" i="1"/>
  <c r="M7" i="1"/>
  <c r="M8" i="1"/>
  <c r="I3" i="1" l="1"/>
  <c r="I4" i="1" l="1"/>
  <c r="I5" i="1"/>
  <c r="I6" i="1"/>
  <c r="I7" i="1"/>
  <c r="I8" i="1"/>
</calcChain>
</file>

<file path=xl/sharedStrings.xml><?xml version="1.0" encoding="utf-8"?>
<sst xmlns="http://schemas.openxmlformats.org/spreadsheetml/2006/main" count="35" uniqueCount="27">
  <si>
    <t>REF</t>
  </si>
  <si>
    <t>NAME</t>
  </si>
  <si>
    <t>FILE SIZE</t>
  </si>
  <si>
    <t>IMAGE SIZE</t>
  </si>
  <si>
    <t>WIDTH</t>
  </si>
  <si>
    <t>HEIGHT</t>
  </si>
  <si>
    <t>SWCPICH1.MAP</t>
  </si>
  <si>
    <t>CALC</t>
  </si>
  <si>
    <t>ORIGINAL</t>
  </si>
  <si>
    <t>DECRUNCHED</t>
  </si>
  <si>
    <t>BITPLANES</t>
  </si>
  <si>
    <t>SWCPICH2.MAP</t>
  </si>
  <si>
    <t>SWCPICH3.MAP</t>
  </si>
  <si>
    <t>SWCPICH4.MAP</t>
  </si>
  <si>
    <t>SWCPICH5.MAP</t>
  </si>
  <si>
    <t>SWCPICH6.MAP</t>
  </si>
  <si>
    <t>DESCRIPTION</t>
  </si>
  <si>
    <t>Training Ground</t>
  </si>
  <si>
    <t>CUT IMAGE SIZE</t>
  </si>
  <si>
    <t>LEFT OVER</t>
  </si>
  <si>
    <t>TOP HEIGH TO REMOVE</t>
  </si>
  <si>
    <t>SPRITE SHEET SIZE (PIXELS)</t>
  </si>
  <si>
    <t xml:space="preserve">USEFULL SPRITE SHEET SIZE (16x16) </t>
  </si>
  <si>
    <t>ROW</t>
  </si>
  <si>
    <t>COL</t>
  </si>
  <si>
    <t>IMAGE</t>
  </si>
  <si>
    <t>SPRITES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</si>
</sst>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15.7109375" defaultRowHeight="20.100000000000001" customHeight="1" x14ac:dyDescent="0.25"/>
  <cols>
    <col min="1" max="1" width="7.5703125" style="1" customWidth="1"/>
    <col min="2" max="2" width="20.7109375" style="1" customWidth="1"/>
    <col min="3" max="3" width="17.42578125" style="1" customWidth="1"/>
    <col min="4" max="6" width="15.7109375" style="1"/>
    <col min="7" max="8" width="12.7109375" style="1" customWidth="1"/>
    <col min="9" max="9" width="19.7109375" style="1" customWidth="1"/>
    <col min="10" max="10" width="12.7109375" style="1" customWidth="1"/>
    <col min="11" max="17" width="15.7109375" style="1"/>
    <col min="18" max="18" width="15.7109375" style="1" customWidth="1"/>
    <col min="19" max="16384" width="15.7109375" style="1"/>
  </cols>
  <sheetData>
    <row r="1" spans="1:18" ht="20.100000000000001" customHeight="1" x14ac:dyDescent="0.25">
      <c r="A1" s="3"/>
      <c r="B1" s="3"/>
      <c r="C1" s="3"/>
      <c r="D1" s="5" t="s">
        <v>2</v>
      </c>
      <c r="E1" s="6"/>
      <c r="F1" s="5" t="s">
        <v>3</v>
      </c>
      <c r="G1" s="7"/>
      <c r="H1" s="7"/>
      <c r="I1" s="3"/>
      <c r="J1" s="5" t="s">
        <v>18</v>
      </c>
      <c r="K1" s="7"/>
      <c r="L1" s="7"/>
      <c r="M1" s="10" t="s">
        <v>20</v>
      </c>
      <c r="N1" s="5" t="s">
        <v>22</v>
      </c>
      <c r="O1" s="6"/>
      <c r="P1" s="7"/>
      <c r="Q1" s="5" t="s">
        <v>21</v>
      </c>
      <c r="R1" s="7"/>
    </row>
    <row r="2" spans="1:18" ht="20.100000000000001" customHeight="1" x14ac:dyDescent="0.25">
      <c r="A2" s="4" t="s">
        <v>0</v>
      </c>
      <c r="B2" s="4" t="s">
        <v>1</v>
      </c>
      <c r="C2" s="4" t="s">
        <v>16</v>
      </c>
      <c r="D2" s="4" t="s">
        <v>8</v>
      </c>
      <c r="E2" s="4" t="s">
        <v>9</v>
      </c>
      <c r="F2" s="4" t="s">
        <v>4</v>
      </c>
      <c r="G2" s="4" t="s">
        <v>5</v>
      </c>
      <c r="H2" s="4" t="s">
        <v>10</v>
      </c>
      <c r="I2" s="4" t="s">
        <v>7</v>
      </c>
      <c r="J2" s="4" t="s">
        <v>4</v>
      </c>
      <c r="K2" s="4" t="s">
        <v>5</v>
      </c>
      <c r="L2" s="4" t="s">
        <v>26</v>
      </c>
      <c r="M2" s="11"/>
      <c r="N2" s="4" t="s">
        <v>4</v>
      </c>
      <c r="O2" s="4" t="s">
        <v>5</v>
      </c>
      <c r="P2" s="4" t="s">
        <v>19</v>
      </c>
      <c r="Q2" s="4" t="s">
        <v>4</v>
      </c>
      <c r="R2" s="4" t="s">
        <v>5</v>
      </c>
    </row>
    <row r="3" spans="1:18" ht="20.100000000000001" customHeight="1" x14ac:dyDescent="0.25">
      <c r="A3" s="2">
        <v>1</v>
      </c>
      <c r="B3" s="2" t="s">
        <v>6</v>
      </c>
      <c r="C3" s="2"/>
      <c r="D3" s="8">
        <v>13391</v>
      </c>
      <c r="E3" s="8">
        <v>45592</v>
      </c>
      <c r="F3" s="8">
        <v>16</v>
      </c>
      <c r="G3" s="8">
        <v>5699</v>
      </c>
      <c r="H3" s="8">
        <v>4</v>
      </c>
      <c r="I3" s="8">
        <f>(F3*G3)/(8/H3)</f>
        <v>45592</v>
      </c>
      <c r="J3" s="8">
        <v>16</v>
      </c>
      <c r="K3" s="8">
        <v>4544</v>
      </c>
      <c r="L3" s="8">
        <f>K3/16</f>
        <v>284</v>
      </c>
      <c r="M3" s="8">
        <f>G3-K3</f>
        <v>1155</v>
      </c>
      <c r="N3" s="8">
        <v>11</v>
      </c>
      <c r="O3" s="8">
        <v>25</v>
      </c>
      <c r="P3" s="8">
        <f>(K3/16)-(N3*O3)</f>
        <v>9</v>
      </c>
      <c r="Q3" s="8">
        <f>N3*16</f>
        <v>176</v>
      </c>
      <c r="R3" s="8">
        <f>(105+16)+(O3*16)+IF(P3&gt;0,16,0)+16</f>
        <v>553</v>
      </c>
    </row>
    <row r="4" spans="1:18" ht="20.100000000000001" customHeight="1" x14ac:dyDescent="0.25">
      <c r="A4" s="2">
        <v>2</v>
      </c>
      <c r="B4" s="2" t="s">
        <v>11</v>
      </c>
      <c r="C4" s="2"/>
      <c r="D4" s="8">
        <v>12497</v>
      </c>
      <c r="E4" s="8">
        <v>39448</v>
      </c>
      <c r="F4" s="8">
        <v>16</v>
      </c>
      <c r="G4" s="8">
        <v>4931</v>
      </c>
      <c r="H4" s="8">
        <v>4</v>
      </c>
      <c r="I4" s="8">
        <f t="shared" ref="I4:I8" si="0">(F4*G4)/(8/H4)</f>
        <v>39448</v>
      </c>
      <c r="J4" s="8">
        <v>16</v>
      </c>
      <c r="K4" s="8">
        <v>3776</v>
      </c>
      <c r="L4" s="8">
        <f t="shared" ref="L4:L8" si="1">K4/16</f>
        <v>236</v>
      </c>
      <c r="M4" s="8">
        <f t="shared" ref="M4:M8" si="2">G4-K4</f>
        <v>1155</v>
      </c>
      <c r="N4" s="8">
        <v>11</v>
      </c>
      <c r="O4" s="8">
        <v>21</v>
      </c>
      <c r="P4" s="8">
        <f t="shared" ref="P4:P8" si="3">(K4/16)-(N4*O4)</f>
        <v>5</v>
      </c>
      <c r="Q4" s="8">
        <f t="shared" ref="Q4:Q8" si="4">N4*16</f>
        <v>176</v>
      </c>
      <c r="R4" s="8">
        <f t="shared" ref="R4:R8" si="5">(105+16)+(O4*16)+IF(P4&gt;0,16,0)+16</f>
        <v>489</v>
      </c>
    </row>
    <row r="5" spans="1:18" ht="20.100000000000001" customHeight="1" x14ac:dyDescent="0.25">
      <c r="A5" s="2">
        <v>3</v>
      </c>
      <c r="B5" s="2" t="s">
        <v>12</v>
      </c>
      <c r="C5" s="2"/>
      <c r="D5" s="8">
        <v>14314</v>
      </c>
      <c r="E5" s="8">
        <v>43032</v>
      </c>
      <c r="F5" s="8">
        <v>16</v>
      </c>
      <c r="G5" s="8">
        <v>5379</v>
      </c>
      <c r="H5" s="8">
        <v>4</v>
      </c>
      <c r="I5" s="8">
        <f t="shared" si="0"/>
        <v>43032</v>
      </c>
      <c r="J5" s="8">
        <v>16</v>
      </c>
      <c r="K5" s="8">
        <v>4224</v>
      </c>
      <c r="L5" s="8">
        <f t="shared" si="1"/>
        <v>264</v>
      </c>
      <c r="M5" s="8">
        <f t="shared" si="2"/>
        <v>1155</v>
      </c>
      <c r="N5" s="8">
        <v>11</v>
      </c>
      <c r="O5" s="8">
        <v>24</v>
      </c>
      <c r="P5" s="8">
        <f t="shared" si="3"/>
        <v>0</v>
      </c>
      <c r="Q5" s="8">
        <f t="shared" si="4"/>
        <v>176</v>
      </c>
      <c r="R5" s="8">
        <f t="shared" si="5"/>
        <v>521</v>
      </c>
    </row>
    <row r="6" spans="1:18" ht="20.100000000000001" customHeight="1" x14ac:dyDescent="0.25">
      <c r="A6" s="2">
        <v>4</v>
      </c>
      <c r="B6" s="2" t="s">
        <v>13</v>
      </c>
      <c r="C6" s="2"/>
      <c r="D6" s="8">
        <v>12124</v>
      </c>
      <c r="E6" s="8">
        <v>39832</v>
      </c>
      <c r="F6" s="8">
        <v>16</v>
      </c>
      <c r="G6" s="8">
        <v>4979</v>
      </c>
      <c r="H6" s="8">
        <v>4</v>
      </c>
      <c r="I6" s="8">
        <f t="shared" si="0"/>
        <v>39832</v>
      </c>
      <c r="J6" s="8">
        <v>16</v>
      </c>
      <c r="K6" s="8">
        <v>3824</v>
      </c>
      <c r="L6" s="8">
        <f t="shared" si="1"/>
        <v>239</v>
      </c>
      <c r="M6" s="8">
        <f t="shared" si="2"/>
        <v>1155</v>
      </c>
      <c r="N6" s="8">
        <v>11</v>
      </c>
      <c r="O6" s="8">
        <v>21</v>
      </c>
      <c r="P6" s="8">
        <f t="shared" si="3"/>
        <v>8</v>
      </c>
      <c r="Q6" s="8">
        <f t="shared" si="4"/>
        <v>176</v>
      </c>
      <c r="R6" s="8">
        <f t="shared" si="5"/>
        <v>489</v>
      </c>
    </row>
    <row r="7" spans="1:18" ht="20.100000000000001" customHeight="1" x14ac:dyDescent="0.25">
      <c r="A7" s="2">
        <v>5</v>
      </c>
      <c r="B7" s="2" t="s">
        <v>14</v>
      </c>
      <c r="C7" s="2"/>
      <c r="D7" s="8">
        <v>13571</v>
      </c>
      <c r="E7" s="8">
        <v>44312</v>
      </c>
      <c r="F7" s="8">
        <v>16</v>
      </c>
      <c r="G7" s="8">
        <v>5539</v>
      </c>
      <c r="H7" s="8">
        <v>4</v>
      </c>
      <c r="I7" s="8">
        <f t="shared" si="0"/>
        <v>44312</v>
      </c>
      <c r="J7" s="8">
        <v>16</v>
      </c>
      <c r="K7" s="8">
        <v>4384</v>
      </c>
      <c r="L7" s="8">
        <f t="shared" si="1"/>
        <v>274</v>
      </c>
      <c r="M7" s="8">
        <f t="shared" si="2"/>
        <v>1155</v>
      </c>
      <c r="N7" s="8">
        <v>11</v>
      </c>
      <c r="O7" s="8">
        <v>24</v>
      </c>
      <c r="P7" s="8">
        <f t="shared" si="3"/>
        <v>10</v>
      </c>
      <c r="Q7" s="8">
        <f t="shared" si="4"/>
        <v>176</v>
      </c>
      <c r="R7" s="8">
        <f t="shared" si="5"/>
        <v>537</v>
      </c>
    </row>
    <row r="8" spans="1:18" ht="20.100000000000001" customHeight="1" x14ac:dyDescent="0.25">
      <c r="A8" s="2">
        <v>6</v>
      </c>
      <c r="B8" s="2" t="s">
        <v>15</v>
      </c>
      <c r="C8" s="2" t="s">
        <v>17</v>
      </c>
      <c r="D8" s="8">
        <v>6883</v>
      </c>
      <c r="E8" s="8">
        <v>31384</v>
      </c>
      <c r="F8" s="8">
        <v>16</v>
      </c>
      <c r="G8" s="8">
        <v>3923</v>
      </c>
      <c r="H8" s="8">
        <v>4</v>
      </c>
      <c r="I8" s="8">
        <f t="shared" si="0"/>
        <v>31384</v>
      </c>
      <c r="J8" s="8">
        <v>16</v>
      </c>
      <c r="K8" s="8">
        <v>2768</v>
      </c>
      <c r="L8" s="8">
        <f t="shared" si="1"/>
        <v>173</v>
      </c>
      <c r="M8" s="8">
        <f t="shared" si="2"/>
        <v>1155</v>
      </c>
      <c r="N8" s="8">
        <v>11</v>
      </c>
      <c r="O8" s="8">
        <v>15</v>
      </c>
      <c r="P8" s="8">
        <f t="shared" si="3"/>
        <v>8</v>
      </c>
      <c r="Q8" s="8">
        <f t="shared" si="4"/>
        <v>176</v>
      </c>
      <c r="R8" s="8">
        <f t="shared" si="5"/>
        <v>393</v>
      </c>
    </row>
  </sheetData>
  <mergeCells count="1">
    <mergeCell ref="M1:M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>
      <selection activeCell="I3" sqref="I3"/>
    </sheetView>
  </sheetViews>
  <sheetFormatPr defaultRowHeight="15" x14ac:dyDescent="0.25"/>
  <cols>
    <col min="1" max="16384" width="9.140625" style="9"/>
  </cols>
  <sheetData>
    <row r="2" spans="2:8" x14ac:dyDescent="0.25">
      <c r="B2" s="9" t="s">
        <v>25</v>
      </c>
      <c r="D2" s="9" t="s">
        <v>23</v>
      </c>
      <c r="E2" s="9" t="s">
        <v>24</v>
      </c>
      <c r="G2" s="9" t="s">
        <v>23</v>
      </c>
      <c r="H2" s="9" t="s">
        <v>24</v>
      </c>
    </row>
    <row r="3" spans="2:8" x14ac:dyDescent="0.25">
      <c r="B3" s="9">
        <v>1</v>
      </c>
      <c r="D3" s="9">
        <v>1</v>
      </c>
      <c r="E3" s="9">
        <v>1</v>
      </c>
      <c r="G3" s="9">
        <f>ROUNDUP(B3/11,0)</f>
        <v>1</v>
      </c>
      <c r="H3" s="9">
        <f>B3/G3</f>
        <v>1</v>
      </c>
    </row>
    <row r="4" spans="2:8" x14ac:dyDescent="0.25">
      <c r="B4" s="9">
        <v>2</v>
      </c>
      <c r="D4" s="9">
        <v>1</v>
      </c>
      <c r="E4" s="9">
        <v>2</v>
      </c>
      <c r="G4" s="9">
        <f t="shared" ref="G4:G28" si="0">ROUNDUP(B4/11,0)</f>
        <v>1</v>
      </c>
      <c r="H4" s="9">
        <f t="shared" ref="H4:H12" si="1">B4/G4</f>
        <v>2</v>
      </c>
    </row>
    <row r="5" spans="2:8" x14ac:dyDescent="0.25">
      <c r="B5" s="9">
        <v>3</v>
      </c>
      <c r="D5" s="9">
        <v>1</v>
      </c>
      <c r="E5" s="9">
        <v>3</v>
      </c>
      <c r="G5" s="9">
        <f t="shared" si="0"/>
        <v>1</v>
      </c>
      <c r="H5" s="9">
        <f t="shared" si="1"/>
        <v>3</v>
      </c>
    </row>
    <row r="6" spans="2:8" x14ac:dyDescent="0.25">
      <c r="B6" s="9">
        <v>4</v>
      </c>
      <c r="D6" s="9">
        <v>1</v>
      </c>
      <c r="E6" s="9">
        <v>4</v>
      </c>
      <c r="G6" s="9">
        <f t="shared" si="0"/>
        <v>1</v>
      </c>
      <c r="H6" s="9">
        <f t="shared" si="1"/>
        <v>4</v>
      </c>
    </row>
    <row r="7" spans="2:8" x14ac:dyDescent="0.25">
      <c r="B7" s="9">
        <v>5</v>
      </c>
      <c r="D7" s="9">
        <v>1</v>
      </c>
      <c r="E7" s="9">
        <v>5</v>
      </c>
      <c r="G7" s="9">
        <f t="shared" si="0"/>
        <v>1</v>
      </c>
      <c r="H7" s="9">
        <f t="shared" si="1"/>
        <v>5</v>
      </c>
    </row>
    <row r="8" spans="2:8" x14ac:dyDescent="0.25">
      <c r="B8" s="9">
        <v>6</v>
      </c>
      <c r="D8" s="9">
        <v>1</v>
      </c>
      <c r="E8" s="9">
        <v>6</v>
      </c>
      <c r="G8" s="9">
        <f t="shared" si="0"/>
        <v>1</v>
      </c>
      <c r="H8" s="9">
        <f t="shared" si="1"/>
        <v>6</v>
      </c>
    </row>
    <row r="9" spans="2:8" x14ac:dyDescent="0.25">
      <c r="B9" s="9">
        <v>7</v>
      </c>
      <c r="D9" s="9">
        <v>1</v>
      </c>
      <c r="E9" s="9">
        <v>7</v>
      </c>
      <c r="G9" s="9">
        <f t="shared" si="0"/>
        <v>1</v>
      </c>
      <c r="H9" s="9">
        <f t="shared" si="1"/>
        <v>7</v>
      </c>
    </row>
    <row r="10" spans="2:8" x14ac:dyDescent="0.25">
      <c r="B10" s="9">
        <v>8</v>
      </c>
      <c r="D10" s="9">
        <v>1</v>
      </c>
      <c r="E10" s="9">
        <v>8</v>
      </c>
      <c r="G10" s="9">
        <f t="shared" si="0"/>
        <v>1</v>
      </c>
      <c r="H10" s="9">
        <f t="shared" si="1"/>
        <v>8</v>
      </c>
    </row>
    <row r="11" spans="2:8" x14ac:dyDescent="0.25">
      <c r="B11" s="9">
        <v>9</v>
      </c>
      <c r="D11" s="9">
        <v>1</v>
      </c>
      <c r="E11" s="9">
        <v>9</v>
      </c>
      <c r="G11" s="9">
        <f t="shared" si="0"/>
        <v>1</v>
      </c>
      <c r="H11" s="9">
        <f t="shared" si="1"/>
        <v>9</v>
      </c>
    </row>
    <row r="12" spans="2:8" x14ac:dyDescent="0.25">
      <c r="B12" s="9">
        <v>10</v>
      </c>
      <c r="D12" s="9">
        <v>1</v>
      </c>
      <c r="E12" s="9">
        <v>10</v>
      </c>
      <c r="G12" s="9">
        <f t="shared" si="0"/>
        <v>1</v>
      </c>
      <c r="H12" s="9">
        <f t="shared" si="1"/>
        <v>10</v>
      </c>
    </row>
    <row r="13" spans="2:8" x14ac:dyDescent="0.25">
      <c r="B13" s="9">
        <v>11</v>
      </c>
      <c r="D13" s="9">
        <v>1</v>
      </c>
      <c r="E13" s="9">
        <v>11</v>
      </c>
      <c r="G13" s="9">
        <f t="shared" si="0"/>
        <v>1</v>
      </c>
      <c r="H13" s="9">
        <f>B13/G13</f>
        <v>11</v>
      </c>
    </row>
    <row r="14" spans="2:8" x14ac:dyDescent="0.25">
      <c r="B14" s="9">
        <v>12</v>
      </c>
      <c r="D14" s="9">
        <v>2</v>
      </c>
      <c r="E14" s="9">
        <v>1</v>
      </c>
      <c r="G14" s="9">
        <f t="shared" si="0"/>
        <v>2</v>
      </c>
    </row>
    <row r="15" spans="2:8" x14ac:dyDescent="0.25">
      <c r="B15" s="9">
        <v>13</v>
      </c>
      <c r="D15" s="9">
        <v>2</v>
      </c>
      <c r="E15" s="9">
        <v>2</v>
      </c>
      <c r="G15" s="9">
        <f t="shared" si="0"/>
        <v>2</v>
      </c>
    </row>
    <row r="16" spans="2:8" x14ac:dyDescent="0.25">
      <c r="B16" s="9">
        <v>14</v>
      </c>
      <c r="D16" s="9">
        <v>2</v>
      </c>
      <c r="E16" s="9">
        <v>3</v>
      </c>
      <c r="G16" s="9">
        <f t="shared" si="0"/>
        <v>2</v>
      </c>
    </row>
    <row r="17" spans="2:7" x14ac:dyDescent="0.25">
      <c r="B17" s="9">
        <v>15</v>
      </c>
      <c r="D17" s="9">
        <v>2</v>
      </c>
      <c r="E17" s="9">
        <v>4</v>
      </c>
      <c r="G17" s="9">
        <f t="shared" si="0"/>
        <v>2</v>
      </c>
    </row>
    <row r="18" spans="2:7" x14ac:dyDescent="0.25">
      <c r="B18" s="9">
        <v>16</v>
      </c>
      <c r="D18" s="9">
        <v>2</v>
      </c>
      <c r="E18" s="9">
        <v>5</v>
      </c>
      <c r="G18" s="9">
        <f t="shared" si="0"/>
        <v>2</v>
      </c>
    </row>
    <row r="19" spans="2:7" x14ac:dyDescent="0.25">
      <c r="B19" s="9">
        <v>17</v>
      </c>
      <c r="D19" s="9">
        <v>2</v>
      </c>
      <c r="E19" s="9">
        <v>6</v>
      </c>
      <c r="G19" s="9">
        <f t="shared" si="0"/>
        <v>2</v>
      </c>
    </row>
    <row r="20" spans="2:7" x14ac:dyDescent="0.25">
      <c r="B20" s="9">
        <v>18</v>
      </c>
      <c r="D20" s="9">
        <v>2</v>
      </c>
      <c r="E20" s="9">
        <v>7</v>
      </c>
      <c r="G20" s="9">
        <f t="shared" si="0"/>
        <v>2</v>
      </c>
    </row>
    <row r="21" spans="2:7" x14ac:dyDescent="0.25">
      <c r="B21" s="9">
        <v>19</v>
      </c>
      <c r="D21" s="9">
        <v>2</v>
      </c>
      <c r="E21" s="9">
        <v>8</v>
      </c>
      <c r="G21" s="9">
        <f t="shared" si="0"/>
        <v>2</v>
      </c>
    </row>
    <row r="22" spans="2:7" x14ac:dyDescent="0.25">
      <c r="B22" s="9">
        <v>20</v>
      </c>
      <c r="D22" s="9">
        <v>2</v>
      </c>
      <c r="E22" s="9">
        <v>9</v>
      </c>
      <c r="G22" s="9">
        <f t="shared" si="0"/>
        <v>2</v>
      </c>
    </row>
    <row r="23" spans="2:7" x14ac:dyDescent="0.25">
      <c r="B23" s="9">
        <v>21</v>
      </c>
      <c r="D23" s="9">
        <v>2</v>
      </c>
      <c r="E23" s="9">
        <v>10</v>
      </c>
      <c r="G23" s="9">
        <f t="shared" si="0"/>
        <v>2</v>
      </c>
    </row>
    <row r="24" spans="2:7" x14ac:dyDescent="0.25">
      <c r="B24" s="9">
        <v>22</v>
      </c>
      <c r="D24" s="9">
        <v>2</v>
      </c>
      <c r="E24" s="9">
        <v>11</v>
      </c>
      <c r="G24" s="9">
        <f t="shared" si="0"/>
        <v>2</v>
      </c>
    </row>
    <row r="25" spans="2:7" x14ac:dyDescent="0.25">
      <c r="B25" s="9">
        <v>23</v>
      </c>
      <c r="D25" s="9">
        <v>3</v>
      </c>
      <c r="E25" s="9">
        <v>1</v>
      </c>
      <c r="G25" s="9">
        <f t="shared" si="0"/>
        <v>3</v>
      </c>
    </row>
    <row r="26" spans="2:7" x14ac:dyDescent="0.25">
      <c r="B26" s="9">
        <v>24</v>
      </c>
      <c r="D26" s="9">
        <v>3</v>
      </c>
      <c r="E26" s="9">
        <v>2</v>
      </c>
      <c r="G26" s="9">
        <f t="shared" si="0"/>
        <v>3</v>
      </c>
    </row>
    <row r="27" spans="2:7" x14ac:dyDescent="0.25">
      <c r="B27" s="9">
        <v>25</v>
      </c>
      <c r="D27" s="9">
        <v>3</v>
      </c>
      <c r="E27" s="9">
        <v>3</v>
      </c>
      <c r="G27" s="9">
        <f t="shared" si="0"/>
        <v>3</v>
      </c>
    </row>
    <row r="28" spans="2:7" x14ac:dyDescent="0.25">
      <c r="B28" s="9">
        <v>26</v>
      </c>
      <c r="D28" s="9">
        <v>3</v>
      </c>
      <c r="E28" s="9">
        <v>4</v>
      </c>
      <c r="G28" s="9">
        <f t="shared" si="0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Nutt</dc:creator>
  <cp:lastModifiedBy>Tom Nutt</cp:lastModifiedBy>
  <dcterms:created xsi:type="dcterms:W3CDTF">2019-12-04T10:56:51Z</dcterms:created>
  <dcterms:modified xsi:type="dcterms:W3CDTF">2019-12-17T16:22:50Z</dcterms:modified>
</cp:coreProperties>
</file>